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INDUSTRIAL ROBOTICS\Project\cad\4 DOF arm\pulleys\"/>
    </mc:Choice>
  </mc:AlternateContent>
  <xr:revisionPtr revIDLastSave="0" documentId="13_ncr:1_{CC41ED19-E265-4AD1-B857-28BE8D23FAF4}" xr6:coauthVersionLast="47" xr6:coauthVersionMax="47" xr10:uidLastSave="{00000000-0000-0000-0000-000000000000}"/>
  <bookViews>
    <workbookView xWindow="-110" yWindow="-110" windowWidth="19420" windowHeight="10300" activeTab="3" xr2:uid="{E878036B-7941-4952-A442-839A84887257}"/>
  </bookViews>
  <sheets>
    <sheet name="pulleyandbelt" sheetId="1" r:id="rId1"/>
    <sheet name="link0" sheetId="6" r:id="rId2"/>
    <sheet name="link1" sheetId="3" r:id="rId3"/>
    <sheet name="link2" sheetId="4" r:id="rId4"/>
    <sheet name="link3" sheetId="5" r:id="rId5"/>
    <sheet name="inertiatenso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15" i="1"/>
  <c r="G15" i="1"/>
  <c r="H3" i="1"/>
  <c r="C11" i="1"/>
  <c r="D11" i="1" s="1"/>
  <c r="I3" i="1"/>
  <c r="E11" i="1" l="1"/>
  <c r="J3" i="1"/>
  <c r="I15" i="1" s="1"/>
  <c r="C15" i="1" s="1"/>
  <c r="H11" i="1" l="1"/>
  <c r="F11" i="1"/>
  <c r="H4" i="1"/>
  <c r="G11" i="1"/>
  <c r="I11" i="1"/>
  <c r="A15" i="1" s="1"/>
</calcChain>
</file>

<file path=xl/sharedStrings.xml><?xml version="1.0" encoding="utf-8"?>
<sst xmlns="http://schemas.openxmlformats.org/spreadsheetml/2006/main" count="292" uniqueCount="151">
  <si>
    <t>w_trasmis</t>
  </si>
  <si>
    <t>v_pul2</t>
  </si>
  <si>
    <t>w_exit</t>
  </si>
  <si>
    <t>r2</t>
  </si>
  <si>
    <t>r3</t>
  </si>
  <si>
    <t>r4</t>
  </si>
  <si>
    <t>tau1</t>
  </si>
  <si>
    <t>tau2</t>
  </si>
  <si>
    <t>w_motor [rad/s]</t>
  </si>
  <si>
    <t>v_pul1 [m/s]</t>
  </si>
  <si>
    <t>tau_tot</t>
  </si>
  <si>
    <t>r1 [m]</t>
  </si>
  <si>
    <t>F [N]</t>
  </si>
  <si>
    <t>v_pul3</t>
  </si>
  <si>
    <t>v_pul4</t>
  </si>
  <si>
    <t>Motor Power [W]</t>
  </si>
  <si>
    <t>Motor Torque [Nm]</t>
  </si>
  <si>
    <t>rated</t>
  </si>
  <si>
    <t>RMP motor Rated</t>
  </si>
  <si>
    <t>INERTIA TENSOR:</t>
  </si>
  <si>
    <t>PRINCIPAL MOMENTS OF INERTIA:  (KILOGRAM * MM^2)</t>
  </si>
  <si>
    <t>RADII OF GYRATION with respect to PRINCIPAL AXES:</t>
  </si>
  <si>
    <t>---------------------------------------------</t>
  </si>
  <si>
    <t>MASS PROPERTIES OF COMPONENTS OF THE ASSEMBLY</t>
  </si>
  <si>
    <t xml:space="preserve">   DENSITY             MASS          C.G.:  X        Y         Z</t>
  </si>
  <si>
    <t xml:space="preserve">                         HG-MR23            MATERIAL:                              UNKNOWN</t>
  </si>
  <si>
    <t>Ixx Ixy Ixz  3.8620847e+03 -3.2999403e+03  3.5137952e+01</t>
  </si>
  <si>
    <t>Iyx Iyy Iyz -3.2999403e+03  1.7221182e+04  3.2038278e+01</t>
  </si>
  <si>
    <t>Izx Izy Izz  3.5137952e+01  3.2038278e+01  1.9444675e+04</t>
  </si>
  <si>
    <t xml:space="preserve">                         B6702ZZ            MATERIAL:                                     </t>
  </si>
  <si>
    <t>Ixx Ixy Ixz  3.8666085e+03 -3.3096372e+03  3.5119295e+01</t>
  </si>
  <si>
    <t>Iyx Iyy Iyz -3.3096372e+03  1.7241799e+04  3.2029042e+01</t>
  </si>
  <si>
    <t>Izx Izy Izz  3.5119295e+01  3.2029042e+01  1.9469790e+04</t>
  </si>
  <si>
    <t>LINK0</t>
  </si>
  <si>
    <t>Ixx Ixy Ixz  1.5291699e+03 -4.3193121e+02  0.0000000e+00</t>
  </si>
  <si>
    <t>Iyx Iyy Iyz -4.3193121e+02  4.6581201e+03  0.0000000e+00</t>
  </si>
  <si>
    <t>Izx Izy Izz  0.0000000e+00  0.0000000e+00  4.5198067e+03</t>
  </si>
  <si>
    <t xml:space="preserve">                           LINK0            MATERIAL:                                  ABS</t>
  </si>
  <si>
    <t xml:space="preserve">                      LINK0COVER            MATERIAL:                                  ABS</t>
  </si>
  <si>
    <t xml:space="preserve">         1.04000e-06  1.07558e-01  1.04096e+02  4.00042e+01  0.00000e+00</t>
  </si>
  <si>
    <t>LINK3</t>
  </si>
  <si>
    <t>VOLUME =  5.6701328e+05  MM^3</t>
  </si>
  <si>
    <t>SURFACE AREA =  6.5053096e+04  MM^2</t>
  </si>
  <si>
    <t>DENSITY =  1.0400000e-06 KILOGRAM / MM^3</t>
  </si>
  <si>
    <t xml:space="preserve">MASS =  5.8969381e-01 KILOGRAM </t>
  </si>
  <si>
    <t>CENTER OF GRAVITY with respect to SYS_JOINT3 coordinate frame:</t>
  </si>
  <si>
    <t>Ixx Ixy Ixz  5.7807216e+02  0.0000000e+00  0.0000000e+00</t>
  </si>
  <si>
    <t>Iyx Iyy Iyz  0.0000000e+00  2.8034581e+03  0.0000000e+00</t>
  </si>
  <si>
    <t>Izx Izy Izz  0.0000000e+00  0.0000000e+00  2.3138400e+03</t>
  </si>
  <si>
    <t xml:space="preserve">       1.00000        0.00000        0.00000</t>
  </si>
  <si>
    <t>LINK1</t>
  </si>
  <si>
    <t>LINK2</t>
  </si>
  <si>
    <t>inertia tensor from center of gravity</t>
  </si>
  <si>
    <t>G1</t>
  </si>
  <si>
    <t>G2</t>
  </si>
  <si>
    <t>G_tot</t>
  </si>
  <si>
    <t>C_out</t>
  </si>
  <si>
    <t>raggio</t>
  </si>
  <si>
    <t>n_denti</t>
  </si>
  <si>
    <t>z1</t>
  </si>
  <si>
    <t>z2</t>
  </si>
  <si>
    <t>z3</t>
  </si>
  <si>
    <t>z4</t>
  </si>
  <si>
    <t>r1/r2</t>
  </si>
  <si>
    <t>w2/w1</t>
  </si>
  <si>
    <t>z1/z2</t>
  </si>
  <si>
    <t>link 0</t>
  </si>
  <si>
    <t>VOLUME =  7.4772716e+05  MM^3</t>
  </si>
  <si>
    <t>SURFACE AREA =  2.1796948e+05  MM^2</t>
  </si>
  <si>
    <t>AVERAGE DENSITY =  1.6411473e-06 KILOGRAM / MM^3</t>
  </si>
  <si>
    <t xml:space="preserve">MASS =  1.2271304e+00 KILOGRAM </t>
  </si>
  <si>
    <t>CENTER OF GRAVITY with respect to _NEWLINK0 coordinate frame:</t>
  </si>
  <si>
    <t>X   Y   Z     1.3042378e+02  4.6782938e+01  4.4162307e-01  MM</t>
  </si>
  <si>
    <t>INERTIA with respect to _NEWLINK0 coordinate frame:  (KILOGRAM * MM^2)</t>
  </si>
  <si>
    <t>INERTIA at CENTER OF GRAVITY with respect to _NEWLINK0 coordinate frame:  (KILOGRAM * MM^2)</t>
  </si>
  <si>
    <t>I1  I2  I3   2.3477954e+03  6.1373303e+03  6.9470290e+03</t>
  </si>
  <si>
    <t>ROTATION MATRIX from _NEWLINK0 orientation to PRINCIPAL AXES:</t>
  </si>
  <si>
    <t xml:space="preserve">       0.87149       -0.49038        0.00539</t>
  </si>
  <si>
    <t xml:space="preserve">       0.49037        0.87127       -0.02067</t>
  </si>
  <si>
    <t xml:space="preserve">       0.00544        0.02066        0.99977</t>
  </si>
  <si>
    <t>ROTATION ANGLES from _NEWLINK0 orientation to PRINCIPAL AXES (degrees):</t>
  </si>
  <si>
    <t xml:space="preserve">angles about x  y  z   1.184          0.309         29.366 </t>
  </si>
  <si>
    <t>R1  R2  R3 4.3740603e+01  7.0720349e+01  7.5240938e+01  MM</t>
  </si>
  <si>
    <t>(in assembly units and the _NEWLINK0 coordinate frame)</t>
  </si>
  <si>
    <t xml:space="preserve">         1.04000e-06  3.79913e-01  8.61601e+01 -8.36907e+00  0.00000e+00</t>
  </si>
  <si>
    <t xml:space="preserve">           PARAMETRICSHAFT_INST2            MATERIAL:                                  ABS</t>
  </si>
  <si>
    <t xml:space="preserve">         1.04000e-06  1.37837e-02  6.00000e+01  0.00000e+00  0.00000e+00</t>
  </si>
  <si>
    <t xml:space="preserve">                      PULLEY2520            MATERIAL:                                  ABS</t>
  </si>
  <si>
    <t xml:space="preserve">         1.04000e-06  2.10983e-03  1.60000e+02  2.40000e+01  0.00000e+00</t>
  </si>
  <si>
    <t xml:space="preserve">                      PULLEY4020            MATERIAL:                                  ABS</t>
  </si>
  <si>
    <t xml:space="preserve">         1.04000e-06  7.68459e-03  6.00000e+01  2.40000e+01  0.00000e+00</t>
  </si>
  <si>
    <t xml:space="preserve">         2.79355e-06  7.16081e-01  1.59886e+02  7.82739e+01  7.56796e-01</t>
  </si>
  <si>
    <t>Ixx</t>
  </si>
  <si>
    <t>Ixy</t>
  </si>
  <si>
    <t>Ixz</t>
  </si>
  <si>
    <t>Iyx</t>
  </si>
  <si>
    <t>Iyy</t>
  </si>
  <si>
    <t>Iyz</t>
  </si>
  <si>
    <t>Izx</t>
  </si>
  <si>
    <t>Izy</t>
  </si>
  <si>
    <t>Izz</t>
  </si>
  <si>
    <t>VOLUME =  8.9203639e+05  MM^3</t>
  </si>
  <si>
    <t>SURFACE AREA =  2.8412200e+05  MM^2</t>
  </si>
  <si>
    <t>AVERAGE DENSITY =  1.6122416e-06 KILOGRAM / MM^3</t>
  </si>
  <si>
    <t xml:space="preserve">MASS =  1.4381782e+00 KILOGRAM </t>
  </si>
  <si>
    <t>CENTER OF GRAVITY with respect to ASM_DEF_CSYS coordinate frame:</t>
  </si>
  <si>
    <t>X   Y   Z     7.4911544e+01  4.7527607e+01 -3.7144034e-01  MM</t>
  </si>
  <si>
    <t>INERTIA with respect to ASM_DEF_CSYS coordinate frame:  (KILOGRAM * MM^2)</t>
  </si>
  <si>
    <t>INERTIA at CENTER OF GRAVITY with respect to ASM_DEF_CSYS coordinate frame:  (KILOGRAM * MM^2)</t>
  </si>
  <si>
    <t>I1  I2  I3   2.0635785e+03  2.1114258e+04  2.1696316e+04</t>
  </si>
  <si>
    <t>ROTATION MATRIX from ASM_DEF_CSYS orientation to PRINCIPAL AXES:</t>
  </si>
  <si>
    <t xml:space="preserve">       0.98261        0.18563        0.00411</t>
  </si>
  <si>
    <t xml:space="preserve">      -0.18566        0.98205        0.03323</t>
  </si>
  <si>
    <t xml:space="preserve">       0.00213       -0.03342        0.99944</t>
  </si>
  <si>
    <t>ROTATION ANGLES from ASM_DEF_CSYS orientation to PRINCIPAL AXES (degrees):</t>
  </si>
  <si>
    <t xml:space="preserve">angles about x  y  z  -1.904          0.236        -10.698 </t>
  </si>
  <si>
    <t>R1  R2  R3 3.7879492e+01  1.2116622e+02  1.2282497e+02  MM</t>
  </si>
  <si>
    <t>(in assembly units and the ASM_DEF_CSYS coordinate frame)</t>
  </si>
  <si>
    <t xml:space="preserve">                  NEWLINK1_MOTOR            MATERIAL:                                  ABS</t>
  </si>
  <si>
    <t xml:space="preserve">         1.04000e-06  3.76413e-01  1.55315e+02  2.67389e+01  0.00000e+00</t>
  </si>
  <si>
    <t xml:space="preserve">         2.79355e-06  7.16081e-01  1.13658e-01  7.87739e+01 -7.56796e-01</t>
  </si>
  <si>
    <t xml:space="preserve">         7.75000e-06  4.99118e-03  1.00000e+02  3.72000e+01  0.00000e+00</t>
  </si>
  <si>
    <t xml:space="preserve">         7.75000e-06  4.99118e-03  0.00000e+00  3.70000e+01  0.00000e+00</t>
  </si>
  <si>
    <t xml:space="preserve">         7.75000e-06  4.99118e-03  3.00000e+02  3.70000e+01  0.00000e+00</t>
  </si>
  <si>
    <t xml:space="preserve">             HTCPA50-S3M060-14_1            MATERIAL:                              UNKNOWN</t>
  </si>
  <si>
    <t xml:space="preserve">         2.79355e-06  7.64711e-02  4.33888e-01  1.75329e+01  1.00994e-01</t>
  </si>
  <si>
    <t xml:space="preserve">                    NEWLINKCOVER            MATERIAL:                                  ABS</t>
  </si>
  <si>
    <t xml:space="preserve">         1.04000e-06  1.58028e-01  1.38659e+02 -2.50447e+00  0.00000e+00</t>
  </si>
  <si>
    <t xml:space="preserve">                  TRASMISSIONNEW            MATERIAL:                                  ABS</t>
  </si>
  <si>
    <t xml:space="preserve">         1.04000e-06  6.03550e-02  3.00000e+02 -3.67331e+00  0.00000e+00</t>
  </si>
  <si>
    <t xml:space="preserve">         1.04000e-06  7.68459e-03  1.00000e+02  1.05000e+01  0.00000e+00</t>
  </si>
  <si>
    <t xml:space="preserve">         1.04000e-06  2.10983e-03  1.00000e+02  2.55000e+01  0.00000e+00</t>
  </si>
  <si>
    <t xml:space="preserve">            PARAMETRICSHAFT_INST            MATERIAL:                                  ABS</t>
  </si>
  <si>
    <t xml:space="preserve">         1.04000e-06  8.27024e-03  1.00000e+02  1.75000e+01  0.00000e+00</t>
  </si>
  <si>
    <t xml:space="preserve">           PARAMETRICSHAFT_INST1            MATERIAL:                                  ABS</t>
  </si>
  <si>
    <t xml:space="preserve">         1.04000e-06  1.01081e-02  3.00000e+02  1.25000e+01  0.00000e+00</t>
  </si>
  <si>
    <t xml:space="preserve">         1.04000e-06  7.68459e-03  3.00000e+02  2.55000e+01  0.00000e+00</t>
  </si>
  <si>
    <t>VOLUME =  3.5113440e+05  MM^3</t>
  </si>
  <si>
    <t>SURFACE AREA =  1.4702456e+05  MM^2</t>
  </si>
  <si>
    <t>AVERAGE DENSITY =  1.0400000e-06 KILOGRAM / MM^3</t>
  </si>
  <si>
    <t xml:space="preserve">MASS =  3.6517977e-01 KILOGRAM </t>
  </si>
  <si>
    <t>X   Y   Z     0.0000000e+00  8.1128123e+01  2.2500000e+01  MM</t>
  </si>
  <si>
    <t>I1  I2  I3   5.1697692e+02  2.1476062e+03  2.4407211e+03</t>
  </si>
  <si>
    <t xml:space="preserve">       0.00000       -1.00000        0.00000</t>
  </si>
  <si>
    <t xml:space="preserve">       0.00000        0.00000        1.00000</t>
  </si>
  <si>
    <t xml:space="preserve">angles about x  y  z   0.000          0.000         90.000 </t>
  </si>
  <si>
    <t>R1  R2  R3 3.7625495e+01  7.6687391e+01  8.1753381e+01  MM</t>
  </si>
  <si>
    <t xml:space="preserve">                        NEWLINK3            MATERIAL:                                  ABS</t>
  </si>
  <si>
    <t xml:space="preserve">         1.04000e-06  2.40759e-01  0.00000e+00  8.16570e+01  1.21643e+01</t>
  </si>
  <si>
    <t xml:space="preserve">                   NEWLINKCOVER3            MATERIAL:                                  ABS</t>
  </si>
  <si>
    <t xml:space="preserve">         1.04000e-06  1.24420e-01  0.00000e+00  8.01048e+01  4.25000e+01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</si>
</sst>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11" fontId="2" fillId="0" borderId="0" xfId="0" applyNumberFormat="1" applyFont="1" applyAlignment="1">
      <alignment horizontal="left" vertical="center" wrapText="1" indent="1" readingOrder="1"/>
    </xf>
    <xf numFmtId="164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589052</xdr:colOff>
      <xdr:row>0</xdr:row>
      <xdr:rowOff>0</xdr:rowOff>
    </xdr:from>
    <xdr:to>
      <xdr:col>18</xdr:col>
      <xdr:colOff>6666</xdr:colOff>
      <xdr:row>21</xdr:row>
      <xdr:rowOff>28083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C040FA2-CB76-9BAA-6629-34D399469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43" t="13946" r="21996" b="14745"/>
        <a:stretch>
          <a:fillRect/>
        </a:stretch>
      </xdr:blipFill>
      <xdr:spPr>
        <a:xfrm>
          <a:off x="9339352" y="0"/>
          <a:ext cx="3075214" cy="3946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3ECE-2332-439D-BD86-A4FC302F0EB5}">
  <dimension ref="A1:L17"/>
  <sheetViews>
    <sheetView zoomScaleNormal="100" workbookViewId="0">
      <selection activeCell="C15" sqref="C15"/>
    </sheetView>
  </sheetViews>
  <sheetFormatPr defaultRowHeight="14.5" x14ac:dyDescent="0.35"/>
  <cols>
    <col min="1" max="1" width="8.54296875" customWidth="1"/>
    <col min="2" max="2" width="14.81640625" bestFit="1" customWidth="1"/>
    <col min="3" max="8" width="9.08984375" customWidth="1"/>
    <col min="10" max="10" width="9.08984375" customWidth="1"/>
    <col min="11" max="11" width="15.81640625" bestFit="1" customWidth="1"/>
  </cols>
  <sheetData>
    <row r="1" spans="1:12" ht="15" thickBot="1" x14ac:dyDescent="0.4">
      <c r="L1" t="s">
        <v>17</v>
      </c>
    </row>
    <row r="2" spans="1:12" ht="15" thickBot="1" x14ac:dyDescent="0.4">
      <c r="A2" t="s">
        <v>57</v>
      </c>
      <c r="B2" s="6" t="s">
        <v>11</v>
      </c>
      <c r="C2" s="7" t="s">
        <v>3</v>
      </c>
      <c r="D2" s="7" t="s">
        <v>4</v>
      </c>
      <c r="E2" s="8" t="s">
        <v>5</v>
      </c>
      <c r="F2" s="3"/>
      <c r="G2" s="2"/>
      <c r="H2" s="6" t="s">
        <v>6</v>
      </c>
      <c r="I2" s="7" t="s">
        <v>7</v>
      </c>
      <c r="J2" s="8" t="s">
        <v>10</v>
      </c>
      <c r="K2" s="2" t="s">
        <v>15</v>
      </c>
      <c r="L2" s="2" t="s">
        <v>16</v>
      </c>
    </row>
    <row r="3" spans="1:12" x14ac:dyDescent="0.35">
      <c r="B3" s="4">
        <v>1.4E-2</v>
      </c>
      <c r="C3" s="4">
        <v>2.5000000000000001E-2</v>
      </c>
      <c r="D3" s="5">
        <v>1.4999999999999999E-2</v>
      </c>
      <c r="E3" s="4">
        <v>2.3E-2</v>
      </c>
      <c r="F3" s="3"/>
      <c r="G3" s="2" t="s">
        <v>63</v>
      </c>
      <c r="H3" s="17">
        <f>B3/C3</f>
        <v>0.55999999999999994</v>
      </c>
      <c r="I3" s="17">
        <f>D3/E3</f>
        <v>0.65217391304347827</v>
      </c>
      <c r="J3" s="17">
        <f>H3*I3</f>
        <v>0.36521739130434777</v>
      </c>
      <c r="K3" s="2">
        <v>200</v>
      </c>
      <c r="L3">
        <v>0.64</v>
      </c>
    </row>
    <row r="4" spans="1:12" ht="15" thickBot="1" x14ac:dyDescent="0.4">
      <c r="B4" s="2"/>
      <c r="C4" s="3"/>
      <c r="D4" s="3"/>
      <c r="E4" s="3"/>
      <c r="F4" s="3"/>
      <c r="G4" s="2" t="s">
        <v>64</v>
      </c>
      <c r="H4" s="18">
        <f>E11/C11</f>
        <v>0.55999999999999994</v>
      </c>
      <c r="I4" s="18"/>
      <c r="J4" s="18"/>
    </row>
    <row r="5" spans="1:12" ht="15" thickBot="1" x14ac:dyDescent="0.4">
      <c r="A5" t="s">
        <v>58</v>
      </c>
      <c r="B5" s="6" t="s">
        <v>59</v>
      </c>
      <c r="C5" s="10" t="s">
        <v>60</v>
      </c>
      <c r="D5" s="10" t="s">
        <v>61</v>
      </c>
      <c r="E5" s="11" t="s">
        <v>62</v>
      </c>
      <c r="F5" s="3"/>
      <c r="G5" s="3" t="s">
        <v>65</v>
      </c>
      <c r="H5" s="18">
        <f>B6/C6</f>
        <v>0.56000000000000005</v>
      </c>
      <c r="I5" s="18"/>
      <c r="J5" s="18"/>
    </row>
    <row r="6" spans="1:12" x14ac:dyDescent="0.35">
      <c r="B6" s="19">
        <v>28</v>
      </c>
      <c r="C6" s="19">
        <v>50</v>
      </c>
      <c r="D6" s="19"/>
      <c r="E6" s="19"/>
      <c r="G6" s="2"/>
      <c r="H6" s="2"/>
      <c r="I6" s="2"/>
      <c r="J6" s="2"/>
    </row>
    <row r="9" spans="1:12" ht="15" thickBot="1" x14ac:dyDescent="0.4"/>
    <row r="10" spans="1:12" ht="15" thickBot="1" x14ac:dyDescent="0.4">
      <c r="B10" s="6" t="s">
        <v>18</v>
      </c>
      <c r="C10" s="10" t="s">
        <v>8</v>
      </c>
      <c r="D10" s="10" t="s">
        <v>9</v>
      </c>
      <c r="E10" s="10" t="s">
        <v>0</v>
      </c>
      <c r="F10" s="10" t="s">
        <v>1</v>
      </c>
      <c r="G10" s="10" t="s">
        <v>13</v>
      </c>
      <c r="H10" s="10" t="s">
        <v>2</v>
      </c>
      <c r="I10" s="12" t="s">
        <v>14</v>
      </c>
    </row>
    <row r="11" spans="1:12" x14ac:dyDescent="0.35">
      <c r="B11" s="9">
        <v>3000</v>
      </c>
      <c r="C11" s="4">
        <f>2*PI()*B11/60</f>
        <v>314.15926535897933</v>
      </c>
      <c r="D11" s="4">
        <f>C11*B3</f>
        <v>4.3982297150257104</v>
      </c>
      <c r="E11" s="4">
        <f>C11*H3</f>
        <v>175.92918860102841</v>
      </c>
      <c r="F11" s="4">
        <f>E11*C3</f>
        <v>4.3982297150257104</v>
      </c>
      <c r="G11" s="4">
        <f>E11*D3</f>
        <v>2.638937829015426</v>
      </c>
      <c r="H11" s="4">
        <f>C11*J3</f>
        <v>114.73642734849678</v>
      </c>
      <c r="I11" s="4">
        <f>H11*E3</f>
        <v>2.638937829015426</v>
      </c>
    </row>
    <row r="13" spans="1:12" ht="15" thickBot="1" x14ac:dyDescent="0.4"/>
    <row r="14" spans="1:12" ht="15" thickBot="1" x14ac:dyDescent="0.4">
      <c r="A14" t="s">
        <v>12</v>
      </c>
      <c r="C14" t="s">
        <v>56</v>
      </c>
      <c r="G14" s="16" t="s">
        <v>53</v>
      </c>
      <c r="H14" s="10" t="s">
        <v>54</v>
      </c>
      <c r="I14" s="11" t="s">
        <v>55</v>
      </c>
    </row>
    <row r="15" spans="1:12" x14ac:dyDescent="0.35">
      <c r="A15" s="1">
        <f>K3/I11</f>
        <v>75.788068138997787</v>
      </c>
      <c r="B15" s="2"/>
      <c r="C15">
        <f>L3*I15</f>
        <v>1.7523809523809528</v>
      </c>
      <c r="G15" s="4">
        <f>1/H3</f>
        <v>1.7857142857142858</v>
      </c>
      <c r="H15" s="4">
        <f>1/I3</f>
        <v>1.5333333333333332</v>
      </c>
      <c r="I15" s="4">
        <f>1/J3</f>
        <v>2.7380952380952386</v>
      </c>
    </row>
    <row r="16" spans="1:12" x14ac:dyDescent="0.35">
      <c r="B16" s="2"/>
    </row>
    <row r="17" spans="2:2" x14ac:dyDescent="0.35">
      <c r="B17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95A2-AC13-4582-91B2-1BACD1A49501}">
  <dimension ref="A1:F56"/>
  <sheetViews>
    <sheetView workbookViewId="0">
      <selection activeCell="A20" sqref="A20:A22"/>
    </sheetView>
  </sheetViews>
  <sheetFormatPr defaultRowHeight="14.5" x14ac:dyDescent="0.35"/>
  <cols>
    <col min="4" max="6" width="9" bestFit="1" customWidth="1"/>
  </cols>
  <sheetData>
    <row r="1" spans="1:6" x14ac:dyDescent="0.35">
      <c r="A1" t="s">
        <v>66</v>
      </c>
    </row>
    <row r="3" spans="1:6" x14ac:dyDescent="0.35">
      <c r="A3" t="s">
        <v>67</v>
      </c>
    </row>
    <row r="4" spans="1:6" x14ac:dyDescent="0.35">
      <c r="A4" t="s">
        <v>68</v>
      </c>
    </row>
    <row r="5" spans="1:6" x14ac:dyDescent="0.35">
      <c r="A5" t="s">
        <v>69</v>
      </c>
    </row>
    <row r="6" spans="1:6" x14ac:dyDescent="0.35">
      <c r="A6" t="s">
        <v>70</v>
      </c>
    </row>
    <row r="7" spans="1:6" x14ac:dyDescent="0.35">
      <c r="A7" t="s">
        <v>71</v>
      </c>
    </row>
    <row r="8" spans="1:6" x14ac:dyDescent="0.35">
      <c r="A8" t="s">
        <v>72</v>
      </c>
    </row>
    <row r="10" spans="1:6" x14ac:dyDescent="0.35">
      <c r="A10" t="s">
        <v>73</v>
      </c>
    </row>
    <row r="12" spans="1:6" x14ac:dyDescent="0.35">
      <c r="A12" t="s">
        <v>19</v>
      </c>
    </row>
    <row r="13" spans="1:6" x14ac:dyDescent="0.35">
      <c r="A13" t="s">
        <v>92</v>
      </c>
      <c r="B13" t="s">
        <v>93</v>
      </c>
      <c r="C13" t="s">
        <v>94</v>
      </c>
      <c r="D13" s="20">
        <v>5945.1809999999996</v>
      </c>
      <c r="E13" s="20">
        <v>-9107.0501000000004</v>
      </c>
      <c r="F13" s="20">
        <v>-84.274871000000005</v>
      </c>
    </row>
    <row r="14" spans="1:6" x14ac:dyDescent="0.35">
      <c r="A14" t="s">
        <v>95</v>
      </c>
      <c r="B14" t="s">
        <v>96</v>
      </c>
      <c r="C14" t="s">
        <v>97</v>
      </c>
      <c r="D14" s="20">
        <v>-9107.0501000000004</v>
      </c>
      <c r="E14" s="20">
        <v>26100.587</v>
      </c>
      <c r="F14" s="20">
        <v>-52.189624000000002</v>
      </c>
    </row>
    <row r="15" spans="1:6" x14ac:dyDescent="0.35">
      <c r="A15" t="s">
        <v>98</v>
      </c>
      <c r="B15" t="s">
        <v>99</v>
      </c>
      <c r="C15" t="s">
        <v>100</v>
      </c>
      <c r="D15" s="20">
        <v>-84.274871000000005</v>
      </c>
      <c r="E15" s="20">
        <v>-52.189624000000002</v>
      </c>
      <c r="F15" s="20">
        <v>30506.228999999999</v>
      </c>
    </row>
    <row r="17" spans="1:6" x14ac:dyDescent="0.35">
      <c r="A17" t="s">
        <v>74</v>
      </c>
    </row>
    <row r="19" spans="1:6" x14ac:dyDescent="0.35">
      <c r="A19" t="s">
        <v>19</v>
      </c>
    </row>
    <row r="20" spans="1:6" x14ac:dyDescent="0.35">
      <c r="A20" t="s">
        <v>92</v>
      </c>
      <c r="B20" t="s">
        <v>93</v>
      </c>
      <c r="C20" t="s">
        <v>94</v>
      </c>
      <c r="D20" s="20">
        <v>3259.1909999999998</v>
      </c>
      <c r="E20" s="20">
        <v>-1619.5824</v>
      </c>
      <c r="F20" s="20">
        <v>-13.594434</v>
      </c>
    </row>
    <row r="21" spans="1:6" x14ac:dyDescent="0.35">
      <c r="A21" t="s">
        <v>95</v>
      </c>
      <c r="B21" t="s">
        <v>96</v>
      </c>
      <c r="C21" t="s">
        <v>97</v>
      </c>
      <c r="D21" s="20">
        <v>-1619.5824</v>
      </c>
      <c r="E21" s="20">
        <v>5226.4161999999997</v>
      </c>
      <c r="F21" s="20">
        <v>-26.836590000000001</v>
      </c>
    </row>
    <row r="22" spans="1:6" x14ac:dyDescent="0.35">
      <c r="A22" t="s">
        <v>98</v>
      </c>
      <c r="B22" t="s">
        <v>99</v>
      </c>
      <c r="C22" t="s">
        <v>100</v>
      </c>
      <c r="D22" s="20">
        <v>-13.594434</v>
      </c>
      <c r="E22" s="20">
        <v>-26.836590000000001</v>
      </c>
      <c r="F22" s="20">
        <v>6946.5474999999997</v>
      </c>
    </row>
    <row r="24" spans="1:6" x14ac:dyDescent="0.35">
      <c r="A24" t="s">
        <v>20</v>
      </c>
    </row>
    <row r="25" spans="1:6" x14ac:dyDescent="0.35">
      <c r="A25" t="s">
        <v>75</v>
      </c>
    </row>
    <row r="27" spans="1:6" x14ac:dyDescent="0.35">
      <c r="A27" t="s">
        <v>76</v>
      </c>
    </row>
    <row r="28" spans="1:6" x14ac:dyDescent="0.35">
      <c r="A28" t="s">
        <v>77</v>
      </c>
    </row>
    <row r="29" spans="1:6" x14ac:dyDescent="0.35">
      <c r="A29" t="s">
        <v>78</v>
      </c>
    </row>
    <row r="30" spans="1:6" x14ac:dyDescent="0.35">
      <c r="A30" t="s">
        <v>79</v>
      </c>
    </row>
    <row r="32" spans="1:6" x14ac:dyDescent="0.35">
      <c r="A32" t="s">
        <v>80</v>
      </c>
    </row>
    <row r="33" spans="1:1" x14ac:dyDescent="0.35">
      <c r="A33" t="s">
        <v>81</v>
      </c>
    </row>
    <row r="35" spans="1:1" x14ac:dyDescent="0.35">
      <c r="A35" t="s">
        <v>21</v>
      </c>
    </row>
    <row r="36" spans="1:1" x14ac:dyDescent="0.35">
      <c r="A36" t="s">
        <v>82</v>
      </c>
    </row>
    <row r="38" spans="1:1" x14ac:dyDescent="0.35">
      <c r="A38" t="s">
        <v>22</v>
      </c>
    </row>
    <row r="40" spans="1:1" x14ac:dyDescent="0.35">
      <c r="A40" t="s">
        <v>23</v>
      </c>
    </row>
    <row r="41" spans="1:1" x14ac:dyDescent="0.35">
      <c r="A41" t="s">
        <v>83</v>
      </c>
    </row>
    <row r="43" spans="1:1" x14ac:dyDescent="0.35">
      <c r="A43" t="s">
        <v>24</v>
      </c>
    </row>
    <row r="45" spans="1:1" x14ac:dyDescent="0.35">
      <c r="A45" t="s">
        <v>37</v>
      </c>
    </row>
    <row r="46" spans="1:1" x14ac:dyDescent="0.35">
      <c r="A46" t="s">
        <v>84</v>
      </c>
    </row>
    <row r="47" spans="1:1" x14ac:dyDescent="0.35">
      <c r="A47" t="s">
        <v>85</v>
      </c>
    </row>
    <row r="48" spans="1:1" x14ac:dyDescent="0.35">
      <c r="A48" t="s">
        <v>86</v>
      </c>
    </row>
    <row r="49" spans="1:1" x14ac:dyDescent="0.35">
      <c r="A49" t="s">
        <v>87</v>
      </c>
    </row>
    <row r="50" spans="1:1" x14ac:dyDescent="0.35">
      <c r="A50" t="s">
        <v>88</v>
      </c>
    </row>
    <row r="51" spans="1:1" x14ac:dyDescent="0.35">
      <c r="A51" t="s">
        <v>89</v>
      </c>
    </row>
    <row r="52" spans="1:1" x14ac:dyDescent="0.35">
      <c r="A52" t="s">
        <v>90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25</v>
      </c>
    </row>
    <row r="56" spans="1:1" x14ac:dyDescent="0.35">
      <c r="A5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C3D8-0FB1-4767-82A3-EB44690E604E}">
  <dimension ref="A1:F68"/>
  <sheetViews>
    <sheetView workbookViewId="0">
      <selection sqref="A1:XFD1048576"/>
    </sheetView>
  </sheetViews>
  <sheetFormatPr defaultRowHeight="14.5" x14ac:dyDescent="0.35"/>
  <cols>
    <col min="4" max="6" width="9" bestFit="1" customWidth="1"/>
  </cols>
  <sheetData>
    <row r="1" spans="1:6" x14ac:dyDescent="0.35">
      <c r="A1" t="s">
        <v>101</v>
      </c>
    </row>
    <row r="2" spans="1:6" x14ac:dyDescent="0.35">
      <c r="A2" t="s">
        <v>102</v>
      </c>
    </row>
    <row r="3" spans="1:6" x14ac:dyDescent="0.35">
      <c r="A3" t="s">
        <v>103</v>
      </c>
    </row>
    <row r="4" spans="1:6" x14ac:dyDescent="0.35">
      <c r="A4" t="s">
        <v>104</v>
      </c>
    </row>
    <row r="5" spans="1:6" x14ac:dyDescent="0.35">
      <c r="A5" t="s">
        <v>105</v>
      </c>
    </row>
    <row r="6" spans="1:6" x14ac:dyDescent="0.35">
      <c r="A6" t="s">
        <v>106</v>
      </c>
    </row>
    <row r="8" spans="1:6" x14ac:dyDescent="0.35">
      <c r="A8" t="s">
        <v>107</v>
      </c>
    </row>
    <row r="10" spans="1:6" x14ac:dyDescent="0.35">
      <c r="A10" t="s">
        <v>19</v>
      </c>
    </row>
    <row r="11" spans="1:6" x14ac:dyDescent="0.35">
      <c r="A11" t="s">
        <v>92</v>
      </c>
      <c r="B11" t="s">
        <v>93</v>
      </c>
      <c r="C11" t="s">
        <v>94</v>
      </c>
      <c r="D11" s="20">
        <v>5969.2033000000001</v>
      </c>
      <c r="E11" s="20">
        <v>-1644.9202</v>
      </c>
      <c r="F11" s="20">
        <v>2.5170596000000001</v>
      </c>
    </row>
    <row r="12" spans="1:6" x14ac:dyDescent="0.35">
      <c r="A12" t="s">
        <v>95</v>
      </c>
      <c r="B12" t="s">
        <v>96</v>
      </c>
      <c r="C12" t="s">
        <v>97</v>
      </c>
      <c r="D12" s="20">
        <v>-1644.9202</v>
      </c>
      <c r="E12" s="20">
        <v>28529.113000000001</v>
      </c>
      <c r="F12" s="20">
        <v>52.257829000000001</v>
      </c>
    </row>
    <row r="13" spans="1:6" x14ac:dyDescent="0.35">
      <c r="A13" t="s">
        <v>98</v>
      </c>
      <c r="B13" t="s">
        <v>99</v>
      </c>
      <c r="C13" t="s">
        <v>100</v>
      </c>
      <c r="D13" s="20">
        <v>2.5170596000000001</v>
      </c>
      <c r="E13" s="20">
        <v>52.257829000000001</v>
      </c>
      <c r="F13" s="20">
        <v>33014.921000000002</v>
      </c>
    </row>
    <row r="15" spans="1:6" x14ac:dyDescent="0.35">
      <c r="A15" t="s">
        <v>108</v>
      </c>
    </row>
    <row r="17" spans="1:6" x14ac:dyDescent="0.35">
      <c r="A17" t="s">
        <v>19</v>
      </c>
    </row>
    <row r="18" spans="1:6" x14ac:dyDescent="0.35">
      <c r="A18" t="s">
        <v>92</v>
      </c>
      <c r="B18" t="s">
        <v>93</v>
      </c>
      <c r="C18" t="s">
        <v>94</v>
      </c>
      <c r="D18" s="20">
        <v>2720.3424</v>
      </c>
      <c r="E18" s="20">
        <v>3475.5210999999999</v>
      </c>
      <c r="F18" s="20">
        <v>-37.500490999999997</v>
      </c>
    </row>
    <row r="19" spans="1:6" x14ac:dyDescent="0.35">
      <c r="A19" t="s">
        <v>95</v>
      </c>
      <c r="B19" t="s">
        <v>96</v>
      </c>
      <c r="C19" t="s">
        <v>97</v>
      </c>
      <c r="D19" s="20">
        <v>3475.5210999999999</v>
      </c>
      <c r="E19" s="20">
        <v>20458.233</v>
      </c>
      <c r="F19" s="20">
        <v>26.868704999999999</v>
      </c>
    </row>
    <row r="20" spans="1:6" x14ac:dyDescent="0.35">
      <c r="A20" t="s">
        <v>98</v>
      </c>
      <c r="B20" t="s">
        <v>99</v>
      </c>
      <c r="C20" t="s">
        <v>100</v>
      </c>
      <c r="D20" s="20">
        <v>-37.500490999999997</v>
      </c>
      <c r="E20" s="20">
        <v>26.868704999999999</v>
      </c>
      <c r="F20" s="20">
        <v>21695.577000000001</v>
      </c>
    </row>
    <row r="22" spans="1:6" x14ac:dyDescent="0.35">
      <c r="A22" t="s">
        <v>20</v>
      </c>
    </row>
    <row r="23" spans="1:6" x14ac:dyDescent="0.35">
      <c r="A23" t="s">
        <v>109</v>
      </c>
    </row>
    <row r="25" spans="1:6" x14ac:dyDescent="0.35">
      <c r="A25" t="s">
        <v>110</v>
      </c>
    </row>
    <row r="26" spans="1:6" x14ac:dyDescent="0.35">
      <c r="A26" t="s">
        <v>111</v>
      </c>
    </row>
    <row r="27" spans="1:6" x14ac:dyDescent="0.35">
      <c r="A27" t="s">
        <v>112</v>
      </c>
    </row>
    <row r="28" spans="1:6" x14ac:dyDescent="0.35">
      <c r="A28" t="s">
        <v>113</v>
      </c>
    </row>
    <row r="30" spans="1:6" x14ac:dyDescent="0.35">
      <c r="A30" t="s">
        <v>114</v>
      </c>
    </row>
    <row r="31" spans="1:6" x14ac:dyDescent="0.35">
      <c r="A31" t="s">
        <v>115</v>
      </c>
    </row>
    <row r="33" spans="1:1" x14ac:dyDescent="0.35">
      <c r="A33" t="s">
        <v>21</v>
      </c>
    </row>
    <row r="34" spans="1:1" x14ac:dyDescent="0.35">
      <c r="A34" t="s">
        <v>116</v>
      </c>
    </row>
    <row r="36" spans="1:1" x14ac:dyDescent="0.35">
      <c r="A36" t="s">
        <v>22</v>
      </c>
    </row>
    <row r="38" spans="1:1" x14ac:dyDescent="0.35">
      <c r="A38" t="s">
        <v>23</v>
      </c>
    </row>
    <row r="39" spans="1:1" x14ac:dyDescent="0.35">
      <c r="A39" t="s">
        <v>117</v>
      </c>
    </row>
    <row r="41" spans="1:1" x14ac:dyDescent="0.35">
      <c r="A41" t="s">
        <v>24</v>
      </c>
    </row>
    <row r="43" spans="1:1" x14ac:dyDescent="0.35">
      <c r="A43" t="s">
        <v>118</v>
      </c>
    </row>
    <row r="44" spans="1:1" x14ac:dyDescent="0.35">
      <c r="A44" t="s">
        <v>119</v>
      </c>
    </row>
    <row r="45" spans="1:1" x14ac:dyDescent="0.35">
      <c r="A45" t="s">
        <v>25</v>
      </c>
    </row>
    <row r="46" spans="1:1" x14ac:dyDescent="0.35">
      <c r="A46" t="s">
        <v>120</v>
      </c>
    </row>
    <row r="47" spans="1:1" x14ac:dyDescent="0.35">
      <c r="A47" t="s">
        <v>29</v>
      </c>
    </row>
    <row r="48" spans="1:1" x14ac:dyDescent="0.35">
      <c r="A48" t="s">
        <v>121</v>
      </c>
    </row>
    <row r="49" spans="1:1" x14ac:dyDescent="0.35">
      <c r="A49" t="s">
        <v>29</v>
      </c>
    </row>
    <row r="50" spans="1:1" x14ac:dyDescent="0.35">
      <c r="A50" t="s">
        <v>122</v>
      </c>
    </row>
    <row r="51" spans="1:1" x14ac:dyDescent="0.35">
      <c r="A51" t="s">
        <v>29</v>
      </c>
    </row>
    <row r="52" spans="1:1" x14ac:dyDescent="0.35">
      <c r="A52" t="s">
        <v>123</v>
      </c>
    </row>
    <row r="53" spans="1:1" x14ac:dyDescent="0.35">
      <c r="A53" t="s">
        <v>124</v>
      </c>
    </row>
    <row r="54" spans="1:1" x14ac:dyDescent="0.35">
      <c r="A54" t="s">
        <v>125</v>
      </c>
    </row>
    <row r="55" spans="1:1" x14ac:dyDescent="0.35">
      <c r="A55" t="s">
        <v>126</v>
      </c>
    </row>
    <row r="56" spans="1:1" x14ac:dyDescent="0.35">
      <c r="A56" t="s">
        <v>127</v>
      </c>
    </row>
    <row r="57" spans="1:1" x14ac:dyDescent="0.35">
      <c r="A57" t="s">
        <v>128</v>
      </c>
    </row>
    <row r="58" spans="1:1" x14ac:dyDescent="0.35">
      <c r="A58" t="s">
        <v>129</v>
      </c>
    </row>
    <row r="59" spans="1:1" x14ac:dyDescent="0.35">
      <c r="A59" t="s">
        <v>89</v>
      </c>
    </row>
    <row r="60" spans="1:1" x14ac:dyDescent="0.35">
      <c r="A60" t="s">
        <v>130</v>
      </c>
    </row>
    <row r="61" spans="1:1" x14ac:dyDescent="0.35">
      <c r="A61" t="s">
        <v>87</v>
      </c>
    </row>
    <row r="62" spans="1:1" x14ac:dyDescent="0.35">
      <c r="A62" t="s">
        <v>131</v>
      </c>
    </row>
    <row r="63" spans="1:1" x14ac:dyDescent="0.35">
      <c r="A63" t="s">
        <v>132</v>
      </c>
    </row>
    <row r="64" spans="1:1" x14ac:dyDescent="0.35">
      <c r="A64" t="s">
        <v>133</v>
      </c>
    </row>
    <row r="65" spans="1:1" x14ac:dyDescent="0.35">
      <c r="A65" t="s">
        <v>134</v>
      </c>
    </row>
    <row r="66" spans="1:1" x14ac:dyDescent="0.35">
      <c r="A66" t="s">
        <v>135</v>
      </c>
    </row>
    <row r="67" spans="1:1" x14ac:dyDescent="0.35">
      <c r="A67" t="s">
        <v>89</v>
      </c>
    </row>
    <row r="68" spans="1:1" x14ac:dyDescent="0.35">
      <c r="A6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06D3-5696-4D6E-8D76-602CDA871D99}">
  <dimension ref="A1:F68"/>
  <sheetViews>
    <sheetView tabSelected="1" topLeftCell="A7" workbookViewId="0">
      <selection activeCell="H14" sqref="H14"/>
    </sheetView>
  </sheetViews>
  <sheetFormatPr defaultRowHeight="14.5" x14ac:dyDescent="0.35"/>
  <cols>
    <col min="4" max="6" width="9" bestFit="1" customWidth="1"/>
  </cols>
  <sheetData>
    <row r="1" spans="1:6" x14ac:dyDescent="0.35">
      <c r="A1" t="s">
        <v>101</v>
      </c>
    </row>
    <row r="2" spans="1:6" x14ac:dyDescent="0.35">
      <c r="A2" t="s">
        <v>102</v>
      </c>
    </row>
    <row r="3" spans="1:6" x14ac:dyDescent="0.35">
      <c r="A3" t="s">
        <v>103</v>
      </c>
    </row>
    <row r="4" spans="1:6" x14ac:dyDescent="0.35">
      <c r="A4" t="s">
        <v>104</v>
      </c>
    </row>
    <row r="5" spans="1:6" x14ac:dyDescent="0.35">
      <c r="A5" t="s">
        <v>105</v>
      </c>
    </row>
    <row r="6" spans="1:6" x14ac:dyDescent="0.35">
      <c r="A6" t="s">
        <v>106</v>
      </c>
    </row>
    <row r="8" spans="1:6" x14ac:dyDescent="0.35">
      <c r="A8" t="s">
        <v>107</v>
      </c>
    </row>
    <row r="10" spans="1:6" x14ac:dyDescent="0.35">
      <c r="A10" t="s">
        <v>19</v>
      </c>
    </row>
    <row r="11" spans="1:6" x14ac:dyDescent="0.35">
      <c r="A11" t="s">
        <v>92</v>
      </c>
      <c r="B11" t="s">
        <v>93</v>
      </c>
      <c r="C11" t="s">
        <v>94</v>
      </c>
      <c r="D11" s="20">
        <v>5969.2033000000001</v>
      </c>
      <c r="E11" s="20">
        <v>-1644.9202</v>
      </c>
      <c r="F11" s="20">
        <v>2.5170596000000001</v>
      </c>
    </row>
    <row r="12" spans="1:6" x14ac:dyDescent="0.35">
      <c r="A12" t="s">
        <v>95</v>
      </c>
      <c r="B12" t="s">
        <v>96</v>
      </c>
      <c r="C12" t="s">
        <v>97</v>
      </c>
      <c r="D12" s="20">
        <v>-1644.9202</v>
      </c>
      <c r="E12" s="20">
        <v>28529.113000000001</v>
      </c>
      <c r="F12" s="20">
        <v>52.257829000000001</v>
      </c>
    </row>
    <row r="13" spans="1:6" x14ac:dyDescent="0.35">
      <c r="A13" t="s">
        <v>98</v>
      </c>
      <c r="B13" t="s">
        <v>99</v>
      </c>
      <c r="C13" t="s">
        <v>100</v>
      </c>
      <c r="D13" s="20">
        <v>2.5170596000000001</v>
      </c>
      <c r="E13" s="20">
        <v>52.257829000000001</v>
      </c>
      <c r="F13" s="20">
        <v>33014.921000000002</v>
      </c>
    </row>
    <row r="15" spans="1:6" x14ac:dyDescent="0.35">
      <c r="A15" t="s">
        <v>108</v>
      </c>
    </row>
    <row r="17" spans="1:6" x14ac:dyDescent="0.35">
      <c r="A17" t="s">
        <v>19</v>
      </c>
    </row>
    <row r="18" spans="1:6" x14ac:dyDescent="0.35">
      <c r="A18" t="s">
        <v>92</v>
      </c>
      <c r="B18" t="s">
        <v>93</v>
      </c>
      <c r="C18" t="s">
        <v>94</v>
      </c>
      <c r="D18" s="20">
        <v>2720.3424</v>
      </c>
      <c r="E18" s="20">
        <v>3475.5210999999999</v>
      </c>
      <c r="F18" s="20">
        <v>-37.500490999999997</v>
      </c>
    </row>
    <row r="19" spans="1:6" x14ac:dyDescent="0.35">
      <c r="A19" t="s">
        <v>95</v>
      </c>
      <c r="B19" t="s">
        <v>96</v>
      </c>
      <c r="C19" t="s">
        <v>97</v>
      </c>
      <c r="D19" s="20">
        <v>3475.5210999999999</v>
      </c>
      <c r="E19" s="20">
        <v>20458.233</v>
      </c>
      <c r="F19" s="20">
        <v>26.868704999999999</v>
      </c>
    </row>
    <row r="20" spans="1:6" x14ac:dyDescent="0.35">
      <c r="A20" t="s">
        <v>98</v>
      </c>
      <c r="B20" t="s">
        <v>99</v>
      </c>
      <c r="C20" t="s">
        <v>100</v>
      </c>
      <c r="D20" s="20">
        <v>-37.500490999999997</v>
      </c>
      <c r="E20" s="20">
        <v>26.868704999999999</v>
      </c>
      <c r="F20" s="20">
        <v>21695.577000000001</v>
      </c>
    </row>
    <row r="22" spans="1:6" x14ac:dyDescent="0.35">
      <c r="A22" t="s">
        <v>20</v>
      </c>
    </row>
    <row r="23" spans="1:6" x14ac:dyDescent="0.35">
      <c r="A23" t="s">
        <v>109</v>
      </c>
    </row>
    <row r="25" spans="1:6" x14ac:dyDescent="0.35">
      <c r="A25" t="s">
        <v>110</v>
      </c>
    </row>
    <row r="26" spans="1:6" x14ac:dyDescent="0.35">
      <c r="A26" t="s">
        <v>111</v>
      </c>
    </row>
    <row r="27" spans="1:6" x14ac:dyDescent="0.35">
      <c r="A27" t="s">
        <v>112</v>
      </c>
    </row>
    <row r="28" spans="1:6" x14ac:dyDescent="0.35">
      <c r="A28" t="s">
        <v>113</v>
      </c>
    </row>
    <row r="30" spans="1:6" x14ac:dyDescent="0.35">
      <c r="A30" t="s">
        <v>114</v>
      </c>
    </row>
    <row r="31" spans="1:6" x14ac:dyDescent="0.35">
      <c r="A31" t="s">
        <v>115</v>
      </c>
    </row>
    <row r="33" spans="1:1" x14ac:dyDescent="0.35">
      <c r="A33" t="s">
        <v>21</v>
      </c>
    </row>
    <row r="34" spans="1:1" x14ac:dyDescent="0.35">
      <c r="A34" t="s">
        <v>116</v>
      </c>
    </row>
    <row r="36" spans="1:1" x14ac:dyDescent="0.35">
      <c r="A36" t="s">
        <v>22</v>
      </c>
    </row>
    <row r="38" spans="1:1" x14ac:dyDescent="0.35">
      <c r="A38" t="s">
        <v>23</v>
      </c>
    </row>
    <row r="39" spans="1:1" x14ac:dyDescent="0.35">
      <c r="A39" t="s">
        <v>117</v>
      </c>
    </row>
    <row r="41" spans="1:1" x14ac:dyDescent="0.35">
      <c r="A41" t="s">
        <v>24</v>
      </c>
    </row>
    <row r="43" spans="1:1" x14ac:dyDescent="0.35">
      <c r="A43" t="s">
        <v>118</v>
      </c>
    </row>
    <row r="44" spans="1:1" x14ac:dyDescent="0.35">
      <c r="A44" t="s">
        <v>119</v>
      </c>
    </row>
    <row r="45" spans="1:1" x14ac:dyDescent="0.35">
      <c r="A45" t="s">
        <v>25</v>
      </c>
    </row>
    <row r="46" spans="1:1" x14ac:dyDescent="0.35">
      <c r="A46" t="s">
        <v>120</v>
      </c>
    </row>
    <row r="47" spans="1:1" x14ac:dyDescent="0.35">
      <c r="A47" t="s">
        <v>29</v>
      </c>
    </row>
    <row r="48" spans="1:1" x14ac:dyDescent="0.35">
      <c r="A48" t="s">
        <v>121</v>
      </c>
    </row>
    <row r="49" spans="1:1" x14ac:dyDescent="0.35">
      <c r="A49" t="s">
        <v>29</v>
      </c>
    </row>
    <row r="50" spans="1:1" x14ac:dyDescent="0.35">
      <c r="A50" t="s">
        <v>122</v>
      </c>
    </row>
    <row r="51" spans="1:1" x14ac:dyDescent="0.35">
      <c r="A51" t="s">
        <v>29</v>
      </c>
    </row>
    <row r="52" spans="1:1" x14ac:dyDescent="0.35">
      <c r="A52" t="s">
        <v>123</v>
      </c>
    </row>
    <row r="53" spans="1:1" x14ac:dyDescent="0.35">
      <c r="A53" t="s">
        <v>124</v>
      </c>
    </row>
    <row r="54" spans="1:1" x14ac:dyDescent="0.35">
      <c r="A54" t="s">
        <v>125</v>
      </c>
    </row>
    <row r="55" spans="1:1" x14ac:dyDescent="0.35">
      <c r="A55" t="s">
        <v>126</v>
      </c>
    </row>
    <row r="56" spans="1:1" x14ac:dyDescent="0.35">
      <c r="A56" t="s">
        <v>127</v>
      </c>
    </row>
    <row r="57" spans="1:1" x14ac:dyDescent="0.35">
      <c r="A57" t="s">
        <v>128</v>
      </c>
    </row>
    <row r="58" spans="1:1" x14ac:dyDescent="0.35">
      <c r="A58" t="s">
        <v>129</v>
      </c>
    </row>
    <row r="59" spans="1:1" x14ac:dyDescent="0.35">
      <c r="A59" t="s">
        <v>89</v>
      </c>
    </row>
    <row r="60" spans="1:1" x14ac:dyDescent="0.35">
      <c r="A60" t="s">
        <v>130</v>
      </c>
    </row>
    <row r="61" spans="1:1" x14ac:dyDescent="0.35">
      <c r="A61" t="s">
        <v>87</v>
      </c>
    </row>
    <row r="62" spans="1:1" x14ac:dyDescent="0.35">
      <c r="A62" t="s">
        <v>131</v>
      </c>
    </row>
    <row r="63" spans="1:1" x14ac:dyDescent="0.35">
      <c r="A63" t="s">
        <v>132</v>
      </c>
    </row>
    <row r="64" spans="1:1" x14ac:dyDescent="0.35">
      <c r="A64" t="s">
        <v>133</v>
      </c>
    </row>
    <row r="65" spans="1:1" x14ac:dyDescent="0.35">
      <c r="A65" t="s">
        <v>134</v>
      </c>
    </row>
    <row r="66" spans="1:1" x14ac:dyDescent="0.35">
      <c r="A66" t="s">
        <v>135</v>
      </c>
    </row>
    <row r="67" spans="1:1" x14ac:dyDescent="0.35">
      <c r="A67" t="s">
        <v>89</v>
      </c>
    </row>
    <row r="68" spans="1:1" x14ac:dyDescent="0.35">
      <c r="A68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4843-7187-4142-9EAF-05B3E1AAC61F}">
  <dimension ref="A1:F52"/>
  <sheetViews>
    <sheetView topLeftCell="A13" workbookViewId="0">
      <selection activeCell="F13" sqref="D1:F1048576"/>
    </sheetView>
  </sheetViews>
  <sheetFormatPr defaultRowHeight="14.5" x14ac:dyDescent="0.35"/>
  <cols>
    <col min="4" max="4" width="8.36328125" bestFit="1" customWidth="1"/>
    <col min="5" max="6" width="9" bestFit="1" customWidth="1"/>
  </cols>
  <sheetData>
    <row r="1" spans="1:1" x14ac:dyDescent="0.35">
      <c r="A1" t="s">
        <v>40</v>
      </c>
    </row>
    <row r="2" spans="1:1" x14ac:dyDescent="0.35">
      <c r="A2" t="s">
        <v>41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137</v>
      </c>
    </row>
    <row r="8" spans="1:1" x14ac:dyDescent="0.35">
      <c r="A8" t="s">
        <v>138</v>
      </c>
    </row>
    <row r="9" spans="1:1" x14ac:dyDescent="0.35">
      <c r="A9" t="s">
        <v>139</v>
      </c>
    </row>
    <row r="10" spans="1:1" x14ac:dyDescent="0.35">
      <c r="A10" t="s">
        <v>140</v>
      </c>
    </row>
    <row r="11" spans="1:1" x14ac:dyDescent="0.35">
      <c r="A11" t="s">
        <v>105</v>
      </c>
    </row>
    <row r="12" spans="1:1" x14ac:dyDescent="0.35">
      <c r="A12" t="s">
        <v>141</v>
      </c>
    </row>
    <row r="14" spans="1:1" x14ac:dyDescent="0.35">
      <c r="A14" t="s">
        <v>107</v>
      </c>
    </row>
    <row r="16" spans="1:1" x14ac:dyDescent="0.35">
      <c r="A16" t="s">
        <v>19</v>
      </c>
    </row>
    <row r="17" spans="1:6" x14ac:dyDescent="0.35">
      <c r="A17" t="s">
        <v>92</v>
      </c>
      <c r="B17" t="s">
        <v>93</v>
      </c>
      <c r="C17" t="s">
        <v>94</v>
      </c>
      <c r="D17" s="20">
        <v>4736.0086000000001</v>
      </c>
      <c r="E17" s="20">
        <v>0</v>
      </c>
      <c r="F17" s="20">
        <v>0</v>
      </c>
    </row>
    <row r="18" spans="1:6" x14ac:dyDescent="0.35">
      <c r="A18" t="s">
        <v>95</v>
      </c>
      <c r="B18" t="s">
        <v>96</v>
      </c>
      <c r="C18" t="s">
        <v>97</v>
      </c>
      <c r="D18" s="20">
        <v>0</v>
      </c>
      <c r="E18" s="20">
        <v>701.84918000000005</v>
      </c>
      <c r="F18" s="20">
        <v>-666.59285</v>
      </c>
    </row>
    <row r="19" spans="1:6" x14ac:dyDescent="0.35">
      <c r="A19" t="s">
        <v>98</v>
      </c>
      <c r="B19" t="s">
        <v>99</v>
      </c>
      <c r="C19" t="s">
        <v>100</v>
      </c>
      <c r="D19" s="20">
        <v>0</v>
      </c>
      <c r="E19" s="20">
        <v>-666.59285</v>
      </c>
      <c r="F19" s="20">
        <v>4844.2512999999999</v>
      </c>
    </row>
    <row r="21" spans="1:6" x14ac:dyDescent="0.35">
      <c r="A21" t="s">
        <v>108</v>
      </c>
    </row>
    <row r="23" spans="1:6" x14ac:dyDescent="0.35">
      <c r="A23" t="s">
        <v>19</v>
      </c>
    </row>
    <row r="24" spans="1:6" x14ac:dyDescent="0.35">
      <c r="A24" t="s">
        <v>92</v>
      </c>
      <c r="B24" t="s">
        <v>93</v>
      </c>
      <c r="C24" t="s">
        <v>94</v>
      </c>
      <c r="D24" s="20">
        <v>2147.6062000000002</v>
      </c>
      <c r="E24" s="20">
        <v>0</v>
      </c>
      <c r="F24" s="20">
        <v>0</v>
      </c>
    </row>
    <row r="25" spans="1:6" x14ac:dyDescent="0.35">
      <c r="A25" t="s">
        <v>95</v>
      </c>
      <c r="B25" t="s">
        <v>96</v>
      </c>
      <c r="C25" t="s">
        <v>97</v>
      </c>
      <c r="D25" s="20">
        <v>0</v>
      </c>
      <c r="E25" s="20">
        <v>516.97691999999995</v>
      </c>
      <c r="F25" s="20">
        <v>0</v>
      </c>
    </row>
    <row r="26" spans="1:6" x14ac:dyDescent="0.35">
      <c r="A26" t="s">
        <v>98</v>
      </c>
      <c r="B26" t="s">
        <v>99</v>
      </c>
      <c r="C26" t="s">
        <v>100</v>
      </c>
      <c r="D26" s="20">
        <v>0</v>
      </c>
      <c r="E26" s="20">
        <v>0</v>
      </c>
      <c r="F26" s="20">
        <v>2440.7211000000002</v>
      </c>
    </row>
    <row r="28" spans="1:6" x14ac:dyDescent="0.35">
      <c r="A28" t="s">
        <v>20</v>
      </c>
    </row>
    <row r="29" spans="1:6" x14ac:dyDescent="0.35">
      <c r="A29" t="s">
        <v>142</v>
      </c>
    </row>
    <row r="31" spans="1:6" x14ac:dyDescent="0.35">
      <c r="A31" t="s">
        <v>110</v>
      </c>
    </row>
    <row r="32" spans="1:6" x14ac:dyDescent="0.35">
      <c r="A32" t="s">
        <v>143</v>
      </c>
    </row>
    <row r="33" spans="1:1" x14ac:dyDescent="0.35">
      <c r="A33" t="s">
        <v>49</v>
      </c>
    </row>
    <row r="34" spans="1:1" x14ac:dyDescent="0.35">
      <c r="A34" t="s">
        <v>144</v>
      </c>
    </row>
    <row r="36" spans="1:1" x14ac:dyDescent="0.35">
      <c r="A36" t="s">
        <v>114</v>
      </c>
    </row>
    <row r="37" spans="1:1" x14ac:dyDescent="0.35">
      <c r="A37" t="s">
        <v>145</v>
      </c>
    </row>
    <row r="39" spans="1:1" x14ac:dyDescent="0.35">
      <c r="A39" t="s">
        <v>21</v>
      </c>
    </row>
    <row r="40" spans="1:1" x14ac:dyDescent="0.35">
      <c r="A40" t="s">
        <v>146</v>
      </c>
    </row>
    <row r="42" spans="1:1" x14ac:dyDescent="0.35">
      <c r="A42" t="s">
        <v>22</v>
      </c>
    </row>
    <row r="44" spans="1:1" x14ac:dyDescent="0.35">
      <c r="A44" t="s">
        <v>23</v>
      </c>
    </row>
    <row r="45" spans="1:1" x14ac:dyDescent="0.35">
      <c r="A45" t="s">
        <v>117</v>
      </c>
    </row>
    <row r="47" spans="1:1" x14ac:dyDescent="0.35">
      <c r="A47" t="s">
        <v>24</v>
      </c>
    </row>
    <row r="49" spans="1:1" x14ac:dyDescent="0.35">
      <c r="A49" t="s">
        <v>147</v>
      </c>
    </row>
    <row r="50" spans="1:1" x14ac:dyDescent="0.35">
      <c r="A50" t="s">
        <v>148</v>
      </c>
    </row>
    <row r="51" spans="1:1" x14ac:dyDescent="0.35">
      <c r="A51" t="s">
        <v>149</v>
      </c>
    </row>
    <row r="52" spans="1:1" x14ac:dyDescent="0.35">
      <c r="A52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577C-0C0C-40DA-94A2-B04F6B097418}">
  <dimension ref="A1:C20"/>
  <sheetViews>
    <sheetView workbookViewId="0">
      <selection activeCell="A3" sqref="A3"/>
    </sheetView>
  </sheetViews>
  <sheetFormatPr defaultRowHeight="14.5" x14ac:dyDescent="0.35"/>
  <cols>
    <col min="1" max="3" width="10.453125" bestFit="1" customWidth="1"/>
  </cols>
  <sheetData>
    <row r="1" spans="1:3" x14ac:dyDescent="0.35">
      <c r="A1" t="s">
        <v>52</v>
      </c>
    </row>
    <row r="2" spans="1:3" x14ac:dyDescent="0.35">
      <c r="A2" t="s">
        <v>33</v>
      </c>
    </row>
    <row r="3" spans="1:3" x14ac:dyDescent="0.35">
      <c r="A3" t="s">
        <v>34</v>
      </c>
      <c r="B3" s="13"/>
      <c r="C3" s="13"/>
    </row>
    <row r="4" spans="1:3" x14ac:dyDescent="0.35">
      <c r="A4" t="s">
        <v>35</v>
      </c>
      <c r="B4" s="15"/>
      <c r="C4" s="14"/>
    </row>
    <row r="5" spans="1:3" x14ac:dyDescent="0.35">
      <c r="A5" t="s">
        <v>36</v>
      </c>
      <c r="B5" s="14"/>
      <c r="C5" s="15"/>
    </row>
    <row r="7" spans="1:3" x14ac:dyDescent="0.35">
      <c r="A7" t="s">
        <v>50</v>
      </c>
    </row>
    <row r="8" spans="1:3" x14ac:dyDescent="0.35">
      <c r="A8" t="s">
        <v>26</v>
      </c>
    </row>
    <row r="9" spans="1:3" x14ac:dyDescent="0.35">
      <c r="A9" t="s">
        <v>27</v>
      </c>
    </row>
    <row r="10" spans="1:3" x14ac:dyDescent="0.35">
      <c r="A10" t="s">
        <v>28</v>
      </c>
    </row>
    <row r="12" spans="1:3" x14ac:dyDescent="0.35">
      <c r="A12" t="s">
        <v>51</v>
      </c>
    </row>
    <row r="13" spans="1:3" x14ac:dyDescent="0.35">
      <c r="A13" t="s">
        <v>30</v>
      </c>
    </row>
    <row r="14" spans="1:3" x14ac:dyDescent="0.35">
      <c r="A14" t="s">
        <v>31</v>
      </c>
    </row>
    <row r="15" spans="1:3" x14ac:dyDescent="0.35">
      <c r="A15" t="s">
        <v>32</v>
      </c>
    </row>
    <row r="17" spans="1:1" x14ac:dyDescent="0.35">
      <c r="A17" t="s">
        <v>40</v>
      </c>
    </row>
    <row r="18" spans="1:1" x14ac:dyDescent="0.35">
      <c r="A18" t="s">
        <v>46</v>
      </c>
    </row>
    <row r="19" spans="1:1" x14ac:dyDescent="0.35">
      <c r="A19" t="s">
        <v>47</v>
      </c>
    </row>
    <row r="20" spans="1:1" x14ac:dyDescent="0.35">
      <c r="A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pulleyandbelt</vt:lpstr>
      <vt:lpstr>link0</vt:lpstr>
      <vt:lpstr>link1</vt:lpstr>
      <vt:lpstr>link2</vt:lpstr>
      <vt:lpstr>link3</vt:lpstr>
      <vt:lpstr>inertiatensor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Martino Mariani</dc:creator>
  <cp:lastModifiedBy>Andrea Martino Mariani</cp:lastModifiedBy>
  <dcterms:created xsi:type="dcterms:W3CDTF">2025-11-13T16:43:18Z</dcterms:created>
  <dcterms:modified xsi:type="dcterms:W3CDTF">2025-11-24T09:57:30Z</dcterms:modified>
</cp:coreProperties>
</file>